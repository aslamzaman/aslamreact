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tober-November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<sst xmlns="http://schemas.openxmlformats.org/spreadsheetml/2006/main" count="116" uniqueCount="85">
  <si>
    <t xml:space="preserve">  †m›Uvi di g¨vm GWz‡Kkb Bb mv‡qÝ (wmGgBGm)</t>
  </si>
  <si>
    <t xml:space="preserve">BDwbU óvd‡`i †eZb mxU</t>
  </si>
  <si>
    <t xml:space="preserve">†m‡Þ¤^i- A‡±vei-2023</t>
  </si>
  <si>
    <t xml:space="preserve">µg bs</t>
  </si>
  <si>
    <t xml:space="preserve">bvg</t>
  </si>
  <si>
    <t xml:space="preserve">c`ex</t>
  </si>
  <si>
    <t xml:space="preserve">BDwbU</t>
  </si>
  <si>
    <t xml:space="preserve">†hvM`vb</t>
  </si>
  <si>
    <t xml:space="preserve">Gwiqvi</t>
  </si>
  <si>
    <r>
      <rPr>
        <sz val="13"/>
        <color rgb="FF000000"/>
        <rFont val="SutonnyMJ"/>
        <family val="0"/>
        <charset val="1"/>
      </rPr>
      <t xml:space="preserve">†m‡Þ¤^i </t>
    </r>
    <r>
      <rPr>
        <sz val="12"/>
        <color rgb="FF000000"/>
        <rFont val="SutonnyMJ"/>
        <family val="0"/>
        <charset val="1"/>
      </rPr>
      <t xml:space="preserve">-2023</t>
    </r>
  </si>
  <si>
    <t xml:space="preserve">A‡±vei-2023</t>
  </si>
  <si>
    <t xml:space="preserve"> †gvU</t>
  </si>
  <si>
    <t xml:space="preserve">gšÍe¨</t>
  </si>
  <si>
    <t xml:space="preserve">†gvmv: BmgZ Aviv bqb</t>
  </si>
  <si>
    <t xml:space="preserve">BDwbU BbPvR©</t>
  </si>
  <si>
    <t xml:space="preserve">`vgKzov</t>
  </si>
  <si>
    <t xml:space="preserve">30.04.17</t>
  </si>
  <si>
    <t xml:space="preserve">†gv: AvwZqvi ingvb</t>
  </si>
  <si>
    <t xml:space="preserve">bqvw`qvox</t>
  </si>
  <si>
    <t xml:space="preserve">†gv: cjvk DwÏb</t>
  </si>
  <si>
    <t xml:space="preserve">GjvBcyi</t>
  </si>
  <si>
    <t xml:space="preserve">†gv: dinv` Avjx</t>
  </si>
  <si>
    <t xml:space="preserve">bvwjZvevox</t>
  </si>
  <si>
    <t xml:space="preserve">06.08.17</t>
  </si>
  <si>
    <t xml:space="preserve">†gv: †Mvjvg †gv¯Ídv</t>
  </si>
  <si>
    <t xml:space="preserve">gvjMvov</t>
  </si>
  <si>
    <t xml:space="preserve">01.03.19</t>
  </si>
  <si>
    <t xml:space="preserve">†gv: byiæ wgqv</t>
  </si>
  <si>
    <t xml:space="preserve">wmwU/GbwR</t>
  </si>
  <si>
    <t xml:space="preserve">dzjevwo</t>
  </si>
  <si>
    <t xml:space="preserve">18.02.21</t>
  </si>
  <si>
    <t xml:space="preserve">†gv: mvnveywÏb</t>
  </si>
  <si>
    <t xml:space="preserve">Kv‡qZcvov</t>
  </si>
  <si>
    <t xml:space="preserve">01.11.19</t>
  </si>
  <si>
    <t xml:space="preserve">†gv: Av: Inve wgqv</t>
  </si>
  <si>
    <t xml:space="preserve">01.01.21</t>
  </si>
  <si>
    <t xml:space="preserve">iÄb Kzgvi</t>
  </si>
  <si>
    <t xml:space="preserve">AvjxbMi</t>
  </si>
  <si>
    <t xml:space="preserve">02.02.19</t>
  </si>
  <si>
    <t xml:space="preserve">†gv: iv‡mj wgqv</t>
  </si>
  <si>
    <t xml:space="preserve">Dwjcyi</t>
  </si>
  <si>
    <t xml:space="preserve">01.03.18</t>
  </si>
  <si>
    <t xml:space="preserve">†gv: †gvkvid †nv‡mb</t>
  </si>
  <si>
    <t xml:space="preserve">†gv: iweDj Bmjvg</t>
  </si>
  <si>
    <t xml:space="preserve">01.01.18</t>
  </si>
  <si>
    <t xml:space="preserve">†gv: ‡Lvi‡k` Avjx </t>
  </si>
  <si>
    <t xml:space="preserve">fvUcvov</t>
  </si>
  <si>
    <t xml:space="preserve">01.09.19</t>
  </si>
  <si>
    <t xml:space="preserve">†gv: iwdKzj Bmjvg</t>
  </si>
  <si>
    <t xml:space="preserve">ivbxie›`i </t>
  </si>
  <si>
    <t xml:space="preserve">08.08.18</t>
  </si>
  <si>
    <t xml:space="preserve">mvnv`r †nv‡mb</t>
  </si>
  <si>
    <t xml:space="preserve">cv_iNvUv</t>
  </si>
  <si>
    <t xml:space="preserve">01.09.17</t>
  </si>
  <si>
    <t xml:space="preserve">†gv: Avãym mvjvg</t>
  </si>
  <si>
    <t xml:space="preserve">AvgZjx</t>
  </si>
  <si>
    <t xml:space="preserve">30.11.17</t>
  </si>
  <si>
    <t xml:space="preserve">Aiæb</t>
  </si>
  <si>
    <t xml:space="preserve">myiæR</t>
  </si>
  <si>
    <t xml:space="preserve">16.09.19</t>
  </si>
  <si>
    <t xml:space="preserve">†gv: Avey Kvjvg</t>
  </si>
  <si>
    <t xml:space="preserve">†`DwZ</t>
  </si>
  <si>
    <t xml:space="preserve">18.02.20</t>
  </si>
  <si>
    <t xml:space="preserve">†gv: kwn`yj Bmjvg</t>
  </si>
  <si>
    <t xml:space="preserve">N›UvNi</t>
  </si>
  <si>
    <t xml:space="preserve">‡gv: iwdKzj Bmjvg</t>
  </si>
  <si>
    <t xml:space="preserve">mwLcyi</t>
  </si>
  <si>
    <t xml:space="preserve">†gv: gwRei wgqv</t>
  </si>
  <si>
    <t xml:space="preserve">mwLcyi(m¨vK)</t>
  </si>
  <si>
    <t xml:space="preserve">01.10.19</t>
  </si>
  <si>
    <t xml:space="preserve">†gv: †Mvjvg gZ©yRv</t>
  </si>
  <si>
    <t xml:space="preserve">01.05.18</t>
  </si>
  <si>
    <t xml:space="preserve">†gv: †iRvDj Kwig</t>
  </si>
  <si>
    <t xml:space="preserve">eKwkMÄ</t>
  </si>
  <si>
    <t xml:space="preserve">01.02.18</t>
  </si>
  <si>
    <t xml:space="preserve">†gv: gwbiæj Bmjvg</t>
  </si>
  <si>
    <t xml:space="preserve">nvjyqvNvU</t>
  </si>
  <si>
    <t xml:space="preserve">20.12.20</t>
  </si>
  <si>
    <t xml:space="preserve">†gvU</t>
  </si>
  <si>
    <t xml:space="preserve"> </t>
  </si>
  <si>
    <t xml:space="preserve">†Pqvig¨vb</t>
  </si>
  <si>
    <t xml:space="preserve">    wbe©vnx cwiPvjK</t>
  </si>
  <si>
    <t xml:space="preserve">wWwcwm</t>
  </si>
  <si>
    <t xml:space="preserve">   G¨vKvD›Um  </t>
  </si>
  <si>
    <t xml:space="preserve">        cÖkvmb    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</si>
</sst>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6"/>
      <color rgb="FF000000"/>
      <name val="SutonnyMJ"/>
      <family val="0"/>
      <charset val="1"/>
    </font>
    <font>
      <b val="true"/>
      <sz val="18"/>
      <color rgb="FF000000"/>
      <name val="SutonnyMJ"/>
      <family val="0"/>
      <charset val="1"/>
    </font>
    <font>
      <sz val="13"/>
      <color rgb="FF000000"/>
      <name val="SutonnyMJ"/>
      <family val="0"/>
      <charset val="1"/>
    </font>
    <font>
      <b val="true"/>
      <sz val="12"/>
      <color rgb="FF000000"/>
      <name val="SutonnyMJ"/>
      <family val="0"/>
      <charset val="1"/>
    </font>
    <font>
      <sz val="12"/>
      <color rgb="FF000000"/>
      <name val="SutonnyMJ"/>
      <family val="0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SutonnyMJ"/>
      <family val="0"/>
      <charset val="1"/>
    </font>
    <font>
      <sz val="12"/>
      <name val="SutonnyMJ"/>
      <family val="0"/>
      <charset val="1"/>
    </font>
    <font>
      <sz val="13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6" fontId="4" fillId="0" borderId="0" xfId="15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8" fillId="0" borderId="2" xfId="15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7" fillId="0" borderId="2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8" fillId="0" borderId="2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9" fillId="0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9" fillId="0" borderId="5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9" fillId="0" borderId="5" xfId="15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9" fillId="0" borderId="5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8" fillId="0" borderId="5" xfId="15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8" fillId="0" borderId="0" xfId="15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6" fontId="7" fillId="0" borderId="0" xfId="15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6" fontId="9" fillId="0" borderId="0" xfId="15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45"/>
  <sheetViews>
    <sheetView showFormulas="false" showGridLines="true" showRowColHeaders="true" showZeros="true" rightToLeft="false" tabSelected="true" showOutlineSymbols="true" defaultGridColor="true" view="normal" topLeftCell="B7" colorId="64" zoomScale="110" zoomScaleNormal="110" zoomScalePageLayoutView="100" workbookViewId="0">
      <selection pane="topLeft" activeCell="B19" activeCellId="0" sqref="19:19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.57"/>
    <col collapsed="false" customWidth="true" hidden="false" outlineLevel="0" max="3" min="3" style="1" width="23.92"/>
    <col collapsed="false" customWidth="true" hidden="false" outlineLevel="0" max="4" min="4" style="1" width="15"/>
    <col collapsed="false" customWidth="true" hidden="false" outlineLevel="0" max="5" min="5" style="1" width="14.35"/>
    <col collapsed="false" customWidth="true" hidden="false" outlineLevel="0" max="6" min="6" style="1" width="12.5"/>
    <col collapsed="false" customWidth="true" hidden="false" outlineLevel="0" max="7" min="7" style="2" width="17.59"/>
    <col collapsed="false" customWidth="true" hidden="false" outlineLevel="0" max="8" min="8" style="2" width="14.08"/>
    <col collapsed="false" customWidth="true" hidden="false" outlineLevel="0" max="9" min="9" style="2" width="14.52"/>
    <col collapsed="false" customWidth="true" hidden="false" outlineLevel="0" max="10" min="10" style="2" width="12.04"/>
    <col collapsed="false" customWidth="true" hidden="false" outlineLevel="0" max="11" min="11" style="3" width="25.01"/>
    <col collapsed="false" customWidth="false" hidden="false" outlineLevel="0" max="12" min="12" style="1" width="8.73"/>
    <col collapsed="false" customWidth="true" hidden="false" outlineLevel="0" max="13" min="13" style="1" width="10.85"/>
    <col collapsed="false" customWidth="false" hidden="false" outlineLevel="0" max="1025" min="14" style="1" width="8.73"/>
  </cols>
  <sheetData>
    <row r="1" customFormat="false" ht="17.1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7.1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17.1" hidden="false" customHeight="true" outlineLevel="0" collapsed="false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="13" customFormat="true" ht="20.35" hidden="false" customHeight="true" outlineLevel="0" collapsed="false">
      <c r="A4" s="7" t="s">
        <v>3</v>
      </c>
      <c r="B4" s="7"/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10" t="s">
        <v>9</v>
      </c>
      <c r="I4" s="10" t="s">
        <v>10</v>
      </c>
      <c r="J4" s="11" t="s">
        <v>11</v>
      </c>
      <c r="K4" s="12" t="s">
        <v>12</v>
      </c>
    </row>
    <row r="5" s="19" customFormat="true" ht="17.1" hidden="false" customHeight="true" outlineLevel="0" collapsed="false">
      <c r="A5" s="14" t="n">
        <v>1</v>
      </c>
      <c r="B5" s="14" t="n">
        <v>1</v>
      </c>
      <c r="C5" s="15" t="s">
        <v>13</v>
      </c>
      <c r="D5" s="16" t="s">
        <v>14</v>
      </c>
      <c r="E5" s="16" t="s">
        <v>15</v>
      </c>
      <c r="F5" s="16" t="s">
        <v>16</v>
      </c>
      <c r="G5" s="17" t="n">
        <v>0</v>
      </c>
      <c r="H5" s="17" t="n">
        <v>10000</v>
      </c>
      <c r="I5" s="17" t="n">
        <f aca="false">H5</f>
        <v>10000</v>
      </c>
      <c r="J5" s="17" t="n">
        <f aca="false">H5+I5+G5</f>
        <v>20000</v>
      </c>
      <c r="K5" s="1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18"/>
    </row>
    <row r="6" s="19" customFormat="true" ht="17.1" hidden="false" customHeight="true" outlineLevel="0" collapsed="false">
      <c r="A6" s="14" t="n">
        <v>2</v>
      </c>
      <c r="B6" s="14" t="n">
        <v>2</v>
      </c>
      <c r="C6" s="15" t="s">
        <v>17</v>
      </c>
      <c r="D6" s="16" t="s">
        <v>14</v>
      </c>
      <c r="E6" s="16" t="s">
        <v>18</v>
      </c>
      <c r="F6" s="16" t="s">
        <v>16</v>
      </c>
      <c r="G6" s="17" t="n">
        <v>0</v>
      </c>
      <c r="H6" s="17" t="n">
        <v>5000</v>
      </c>
      <c r="I6" s="17" t="n">
        <f aca="false">H6</f>
        <v>5000</v>
      </c>
      <c r="J6" s="17" t="n">
        <f aca="false">H6+I6+G6</f>
        <v>10000</v>
      </c>
      <c r="K6" s="1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18"/>
    </row>
    <row r="7" s="19" customFormat="true" ht="17.1" hidden="false" customHeight="true" outlineLevel="0" collapsed="false">
      <c r="A7" s="14" t="n">
        <v>3</v>
      </c>
      <c r="B7" s="14" t="n">
        <v>3</v>
      </c>
      <c r="C7" s="15" t="s">
        <v>19</v>
      </c>
      <c r="D7" s="16" t="s">
        <v>14</v>
      </c>
      <c r="E7" s="16" t="s">
        <v>20</v>
      </c>
      <c r="F7" s="16" t="s">
        <v>16</v>
      </c>
      <c r="G7" s="17" t="n">
        <v>0</v>
      </c>
      <c r="H7" s="17" t="n">
        <v>5000</v>
      </c>
      <c r="I7" s="17" t="n">
        <f aca="false">H7</f>
        <v>5000</v>
      </c>
      <c r="J7" s="17" t="n">
        <f aca="false">H7+I7+G7</f>
        <v>10000</v>
      </c>
      <c r="K7" s="1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18"/>
    </row>
    <row r="8" s="19" customFormat="true" ht="17.1" hidden="false" customHeight="true" outlineLevel="0" collapsed="false">
      <c r="A8" s="14" t="n">
        <v>4</v>
      </c>
      <c r="B8" s="14" t="n">
        <v>4</v>
      </c>
      <c r="C8" s="15" t="s">
        <v>21</v>
      </c>
      <c r="D8" s="16" t="s">
        <v>14</v>
      </c>
      <c r="E8" s="16" t="s">
        <v>22</v>
      </c>
      <c r="F8" s="16" t="s">
        <v>23</v>
      </c>
      <c r="G8" s="17" t="n">
        <v>0</v>
      </c>
      <c r="H8" s="17" t="n">
        <v>5000</v>
      </c>
      <c r="I8" s="17" t="n">
        <f aca="false">H8</f>
        <v>5000</v>
      </c>
      <c r="J8" s="17" t="n">
        <f aca="false">H8+I8+G8</f>
        <v>10000</v>
      </c>
      <c r="K8" s="1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18"/>
    </row>
    <row r="9" s="19" customFormat="true" ht="17.1" hidden="false" customHeight="true" outlineLevel="0" collapsed="false">
      <c r="A9" s="14" t="n">
        <v>5</v>
      </c>
      <c r="B9" s="14" t="n">
        <v>5</v>
      </c>
      <c r="C9" s="15" t="s">
        <v>24</v>
      </c>
      <c r="D9" s="16" t="s">
        <v>14</v>
      </c>
      <c r="E9" s="16" t="s">
        <v>25</v>
      </c>
      <c r="F9" s="16" t="s">
        <v>26</v>
      </c>
      <c r="G9" s="17" t="n">
        <v>0</v>
      </c>
      <c r="H9" s="17" t="n">
        <v>7000</v>
      </c>
      <c r="I9" s="17" t="n">
        <f aca="false">H9</f>
        <v>7000</v>
      </c>
      <c r="J9" s="17" t="n">
        <f aca="false">H9+I9+G9</f>
        <v>14000</v>
      </c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18"/>
    </row>
    <row r="10" s="19" customFormat="true" ht="17.1" hidden="false" customHeight="true" outlineLevel="0" collapsed="false">
      <c r="A10" s="14" t="n">
        <v>6</v>
      </c>
      <c r="B10" s="14" t="n">
        <v>6</v>
      </c>
      <c r="C10" s="15" t="s">
        <v>27</v>
      </c>
      <c r="D10" s="16" t="s">
        <v>28</v>
      </c>
      <c r="E10" s="16" t="s">
        <v>29</v>
      </c>
      <c r="F10" s="16" t="s">
        <v>30</v>
      </c>
      <c r="G10" s="17"/>
      <c r="H10" s="17" t="n">
        <v>3000</v>
      </c>
      <c r="I10" s="17" t="n">
        <f aca="false">H10</f>
        <v>3000</v>
      </c>
      <c r="J10" s="17" t="n">
        <f aca="false">H10+I10+G10</f>
        <v>6000</v>
      </c>
      <c r="K10" s="1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18"/>
    </row>
    <row r="11" s="19" customFormat="true" ht="17.1" hidden="false" customHeight="true" outlineLevel="0" collapsed="false">
      <c r="A11" s="14" t="n">
        <v>7</v>
      </c>
      <c r="B11" s="14" t="n">
        <v>7</v>
      </c>
      <c r="C11" s="15" t="s">
        <v>31</v>
      </c>
      <c r="D11" s="16" t="s">
        <v>28</v>
      </c>
      <c r="E11" s="16" t="s">
        <v>32</v>
      </c>
      <c r="F11" s="16" t="s">
        <v>33</v>
      </c>
      <c r="G11" s="17"/>
      <c r="H11" s="17" t="n">
        <v>3000</v>
      </c>
      <c r="I11" s="17" t="n">
        <f aca="false">H11</f>
        <v>3000</v>
      </c>
      <c r="J11" s="17" t="n">
        <f aca="false">H11+I11+G11</f>
        <v>6000</v>
      </c>
      <c r="K11" s="1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18"/>
    </row>
    <row r="12" s="19" customFormat="true" ht="17.1" hidden="false" customHeight="true" outlineLevel="0" collapsed="false">
      <c r="A12" s="14" t="n">
        <v>8</v>
      </c>
      <c r="B12" s="14" t="n">
        <v>8</v>
      </c>
      <c r="C12" s="15" t="s">
        <v>34</v>
      </c>
      <c r="D12" s="16" t="s">
        <v>28</v>
      </c>
      <c r="E12" s="16" t="s">
        <v>32</v>
      </c>
      <c r="F12" s="16" t="s">
        <v>35</v>
      </c>
      <c r="G12" s="17"/>
      <c r="H12" s="17" t="n">
        <v>3000</v>
      </c>
      <c r="I12" s="17" t="n">
        <f aca="false">H12</f>
        <v>3000</v>
      </c>
      <c r="J12" s="17" t="n">
        <f aca="false">H12+I12+G12</f>
        <v>6000</v>
      </c>
      <c r="K12" s="1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18"/>
    </row>
    <row r="13" s="19" customFormat="true" ht="17.1" hidden="false" customHeight="true" outlineLevel="0" collapsed="false">
      <c r="A13" s="14" t="n">
        <v>9</v>
      </c>
      <c r="B13" s="14" t="n">
        <v>9</v>
      </c>
      <c r="C13" s="15" t="s">
        <v>36</v>
      </c>
      <c r="D13" s="16" t="s">
        <v>28</v>
      </c>
      <c r="E13" s="16" t="s">
        <v>37</v>
      </c>
      <c r="F13" s="16" t="s">
        <v>38</v>
      </c>
      <c r="G13" s="17"/>
      <c r="H13" s="17" t="n">
        <v>3000</v>
      </c>
      <c r="I13" s="17" t="n">
        <f aca="false">H13</f>
        <v>3000</v>
      </c>
      <c r="J13" s="17" t="n">
        <f aca="false">H13+I13+G13</f>
        <v>6000</v>
      </c>
      <c r="K13" s="1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18"/>
    </row>
    <row r="14" s="19" customFormat="true" ht="17.1" hidden="false" customHeight="true" outlineLevel="0" collapsed="false">
      <c r="A14" s="14" t="n">
        <v>10</v>
      </c>
      <c r="B14" s="14" t="n">
        <v>10</v>
      </c>
      <c r="C14" s="15" t="s">
        <v>39</v>
      </c>
      <c r="D14" s="16" t="s">
        <v>28</v>
      </c>
      <c r="E14" s="16" t="s">
        <v>40</v>
      </c>
      <c r="F14" s="16" t="s">
        <v>41</v>
      </c>
      <c r="G14" s="17"/>
      <c r="H14" s="17" t="n">
        <v>3000</v>
      </c>
      <c r="I14" s="17" t="n">
        <f aca="false">H14</f>
        <v>3000</v>
      </c>
      <c r="J14" s="17" t="n">
        <f aca="false">H14+I14+G14</f>
        <v>6000</v>
      </c>
      <c r="K14" s="1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18"/>
    </row>
    <row r="15" s="19" customFormat="true" ht="17.1" hidden="false" customHeight="true" outlineLevel="0" collapsed="false">
      <c r="A15" s="14" t="n">
        <v>11</v>
      </c>
      <c r="B15" s="14" t="n">
        <v>11</v>
      </c>
      <c r="C15" s="15" t="s">
        <v>42</v>
      </c>
      <c r="D15" s="16" t="s">
        <v>28</v>
      </c>
      <c r="E15" s="16" t="s">
        <v>22</v>
      </c>
      <c r="F15" s="16" t="s">
        <v>41</v>
      </c>
      <c r="G15" s="17"/>
      <c r="H15" s="17" t="n">
        <v>3000</v>
      </c>
      <c r="I15" s="17" t="n">
        <f aca="false">H15</f>
        <v>3000</v>
      </c>
      <c r="J15" s="17" t="n">
        <f aca="false">H15+I15+G15</f>
        <v>6000</v>
      </c>
      <c r="K15" s="1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18"/>
    </row>
    <row r="16" s="19" customFormat="true" ht="17.1" hidden="false" customHeight="true" outlineLevel="0" collapsed="false">
      <c r="A16" s="14" t="n">
        <v>12</v>
      </c>
      <c r="B16" s="14" t="n">
        <v>12</v>
      </c>
      <c r="C16" s="15" t="s">
        <v>43</v>
      </c>
      <c r="D16" s="16" t="s">
        <v>28</v>
      </c>
      <c r="E16" s="16" t="s">
        <v>20</v>
      </c>
      <c r="F16" s="16" t="s">
        <v>44</v>
      </c>
      <c r="G16" s="17"/>
      <c r="H16" s="17" t="n">
        <v>3000</v>
      </c>
      <c r="I16" s="17" t="n">
        <f aca="false">H16</f>
        <v>3000</v>
      </c>
      <c r="J16" s="17" t="n">
        <f aca="false">H16+I16+G16</f>
        <v>6000</v>
      </c>
      <c r="K16" s="1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18"/>
    </row>
    <row r="17" s="19" customFormat="true" ht="17.1" hidden="false" customHeight="true" outlineLevel="0" collapsed="false">
      <c r="A17" s="14" t="n">
        <v>13</v>
      </c>
      <c r="B17" s="14" t="n">
        <v>13</v>
      </c>
      <c r="C17" s="15" t="s">
        <v>45</v>
      </c>
      <c r="D17" s="16" t="s">
        <v>28</v>
      </c>
      <c r="E17" s="16" t="s">
        <v>46</v>
      </c>
      <c r="F17" s="16" t="s">
        <v>47</v>
      </c>
      <c r="G17" s="17"/>
      <c r="H17" s="17" t="n">
        <v>3000</v>
      </c>
      <c r="I17" s="17" t="n">
        <f aca="false">H17</f>
        <v>3000</v>
      </c>
      <c r="J17" s="17" t="n">
        <f aca="false">H17+I17+G17</f>
        <v>6000</v>
      </c>
      <c r="K17" s="1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18"/>
    </row>
    <row r="18" s="19" customFormat="true" ht="17.1" hidden="false" customHeight="true" outlineLevel="0" collapsed="false">
      <c r="A18" s="14" t="n">
        <v>14</v>
      </c>
      <c r="B18" s="14" t="n">
        <v>14</v>
      </c>
      <c r="C18" s="15" t="s">
        <v>48</v>
      </c>
      <c r="D18" s="16" t="s">
        <v>28</v>
      </c>
      <c r="E18" s="16" t="s">
        <v>49</v>
      </c>
      <c r="F18" s="16" t="s">
        <v>50</v>
      </c>
      <c r="G18" s="17"/>
      <c r="H18" s="17" t="n">
        <v>5000</v>
      </c>
      <c r="I18" s="17" t="n">
        <f aca="false">H18</f>
        <v>5000</v>
      </c>
      <c r="J18" s="17" t="n">
        <f aca="false">H18+I18+G18</f>
        <v>10000</v>
      </c>
      <c r="K18" s="1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18"/>
    </row>
    <row r="19" s="19" customFormat="true" ht="17.1" hidden="false" customHeight="true" outlineLevel="0" collapsed="false">
      <c r="A19" s="14" t="n">
        <v>15</v>
      </c>
      <c r="B19" s="14" t="n">
        <v>15</v>
      </c>
      <c r="C19" s="15" t="s">
        <v>51</v>
      </c>
      <c r="D19" s="16" t="s">
        <v>28</v>
      </c>
      <c r="E19" s="16" t="s">
        <v>52</v>
      </c>
      <c r="F19" s="16" t="s">
        <v>53</v>
      </c>
      <c r="G19" s="17"/>
      <c r="H19" s="17" t="n">
        <v>4000</v>
      </c>
      <c r="I19" s="17" t="n">
        <f aca="false">H19</f>
        <v>4000</v>
      </c>
      <c r="J19" s="17" t="n">
        <f aca="false">H19+I19+G19</f>
        <v>8000</v>
      </c>
      <c r="K19" s="20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18"/>
    </row>
    <row r="20" s="19" customFormat="true" ht="17.1" hidden="false" customHeight="true" outlineLevel="0" collapsed="false">
      <c r="A20" s="14" t="n">
        <v>16</v>
      </c>
      <c r="B20" s="14" t="n">
        <v>16</v>
      </c>
      <c r="C20" s="15" t="s">
        <v>54</v>
      </c>
      <c r="D20" s="16" t="s">
        <v>28</v>
      </c>
      <c r="E20" s="16" t="s">
        <v>55</v>
      </c>
      <c r="F20" s="16" t="s">
        <v>56</v>
      </c>
      <c r="G20" s="17"/>
      <c r="H20" s="17" t="n">
        <v>3000</v>
      </c>
      <c r="I20" s="17" t="n">
        <f aca="false">H20</f>
        <v>3000</v>
      </c>
      <c r="J20" s="17" t="n">
        <f aca="false">H20+I20+G20</f>
        <v>6000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18"/>
    </row>
    <row r="21" s="3" customFormat="true" ht="17.1" hidden="false" customHeight="true" outlineLevel="0" collapsed="false">
      <c r="A21" s="14" t="n">
        <v>17</v>
      </c>
      <c r="B21" s="14" t="n">
        <v>17</v>
      </c>
      <c r="C21" s="15" t="s">
        <v>57</v>
      </c>
      <c r="D21" s="16" t="s">
        <v>28</v>
      </c>
      <c r="E21" s="16" t="s">
        <v>58</v>
      </c>
      <c r="F21" s="16" t="s">
        <v>59</v>
      </c>
      <c r="G21" s="17"/>
      <c r="H21" s="17" t="n">
        <v>3000</v>
      </c>
      <c r="I21" s="17" t="n">
        <f aca="false">H21</f>
        <v>3000</v>
      </c>
      <c r="J21" s="17" t="n">
        <f aca="false">H21+I21+G21</f>
        <v>6000</v>
      </c>
      <c r="K21" s="19"/>
    </row>
    <row r="22" s="3" customFormat="true" ht="17.9" hidden="false" customHeight="true" outlineLevel="0" collapsed="false">
      <c r="A22" s="14" t="n">
        <v>18</v>
      </c>
      <c r="B22" s="14" t="n">
        <v>18</v>
      </c>
      <c r="C22" s="15" t="s">
        <v>60</v>
      </c>
      <c r="D22" s="16" t="s">
        <v>28</v>
      </c>
      <c r="E22" s="16" t="s">
        <v>61</v>
      </c>
      <c r="F22" s="16" t="s">
        <v>62</v>
      </c>
      <c r="G22" s="17"/>
      <c r="H22" s="17" t="n">
        <v>3000</v>
      </c>
      <c r="I22" s="17" t="n">
        <f aca="false">H22</f>
        <v>3000</v>
      </c>
      <c r="J22" s="17" t="n">
        <f aca="false">H22+I22+G22</f>
        <v>6000</v>
      </c>
      <c r="K22" s="21"/>
    </row>
    <row r="23" s="3" customFormat="true" ht="17.1" hidden="false" customHeight="true" outlineLevel="0" collapsed="false">
      <c r="A23" s="14" t="n">
        <v>19</v>
      </c>
      <c r="B23" s="14" t="n">
        <v>19</v>
      </c>
      <c r="C23" s="15" t="s">
        <v>63</v>
      </c>
      <c r="D23" s="16" t="s">
        <v>28</v>
      </c>
      <c r="E23" s="16" t="s">
        <v>64</v>
      </c>
      <c r="F23" s="16" t="s">
        <v>62</v>
      </c>
      <c r="G23" s="17"/>
      <c r="H23" s="17" t="n">
        <v>3000</v>
      </c>
      <c r="I23" s="17" t="n">
        <f aca="false">H23</f>
        <v>3000</v>
      </c>
      <c r="J23" s="17" t="n">
        <f aca="false">H23+I23+G23</f>
        <v>6000</v>
      </c>
      <c r="K23" s="19"/>
    </row>
    <row r="24" s="3" customFormat="true" ht="17.1" hidden="false" customHeight="true" outlineLevel="0" collapsed="false">
      <c r="A24" s="14" t="n">
        <v>20</v>
      </c>
      <c r="B24" s="14" t="n">
        <v>20</v>
      </c>
      <c r="C24" s="22" t="s">
        <v>65</v>
      </c>
      <c r="D24" s="16" t="s">
        <v>28</v>
      </c>
      <c r="E24" s="16" t="s">
        <v>66</v>
      </c>
      <c r="F24" s="16" t="s">
        <v>62</v>
      </c>
      <c r="G24" s="17"/>
      <c r="H24" s="17" t="n">
        <v>3000</v>
      </c>
      <c r="I24" s="17" t="n">
        <f aca="false">H24</f>
        <v>3000</v>
      </c>
      <c r="J24" s="17" t="n">
        <f aca="false">H24+I24+G24</f>
        <v>6000</v>
      </c>
      <c r="K24" s="19"/>
    </row>
    <row r="25" s="3" customFormat="true" ht="17.1" hidden="false" customHeight="true" outlineLevel="0" collapsed="false">
      <c r="A25" s="14" t="n">
        <v>21</v>
      </c>
      <c r="B25" s="14" t="n">
        <v>21</v>
      </c>
      <c r="C25" s="15" t="s">
        <v>67</v>
      </c>
      <c r="D25" s="16" t="s">
        <v>28</v>
      </c>
      <c r="E25" s="16" t="s">
        <v>68</v>
      </c>
      <c r="F25" s="16" t="s">
        <v>69</v>
      </c>
      <c r="G25" s="17"/>
      <c r="H25" s="17" t="n">
        <v>3000</v>
      </c>
      <c r="I25" s="17" t="n">
        <f aca="false">H25</f>
        <v>3000</v>
      </c>
      <c r="J25" s="17" t="n">
        <f aca="false">H25+I25+G25</f>
        <v>6000</v>
      </c>
      <c r="K25" s="19"/>
    </row>
    <row r="26" s="3" customFormat="true" ht="17.1" hidden="false" customHeight="true" outlineLevel="0" collapsed="false">
      <c r="A26" s="14" t="n">
        <v>22</v>
      </c>
      <c r="B26" s="14" t="n">
        <v>22</v>
      </c>
      <c r="C26" s="15" t="s">
        <v>70</v>
      </c>
      <c r="D26" s="16" t="s">
        <v>28</v>
      </c>
      <c r="E26" s="16" t="s">
        <v>15</v>
      </c>
      <c r="F26" s="16" t="s">
        <v>71</v>
      </c>
      <c r="G26" s="17"/>
      <c r="H26" s="17" t="n">
        <v>3000</v>
      </c>
      <c r="I26" s="17" t="n">
        <f aca="false">H26</f>
        <v>3000</v>
      </c>
      <c r="J26" s="17" t="n">
        <f aca="false">H26+I26+G26</f>
        <v>6000</v>
      </c>
      <c r="K26" s="19"/>
    </row>
    <row r="27" s="3" customFormat="true" ht="17.1" hidden="false" customHeight="true" outlineLevel="0" collapsed="false">
      <c r="A27" s="14" t="n">
        <v>23</v>
      </c>
      <c r="B27" s="14" t="n">
        <v>23</v>
      </c>
      <c r="C27" s="15" t="s">
        <v>72</v>
      </c>
      <c r="D27" s="16" t="s">
        <v>28</v>
      </c>
      <c r="E27" s="16" t="s">
        <v>73</v>
      </c>
      <c r="F27" s="16" t="s">
        <v>74</v>
      </c>
      <c r="G27" s="17"/>
      <c r="H27" s="17" t="n">
        <v>3000</v>
      </c>
      <c r="I27" s="17" t="n">
        <f aca="false">H27</f>
        <v>3000</v>
      </c>
      <c r="J27" s="17" t="n">
        <f aca="false">H27+I27+G27</f>
        <v>6000</v>
      </c>
      <c r="K27" s="19"/>
    </row>
    <row r="28" s="3" customFormat="true" ht="17.1" hidden="false" customHeight="true" outlineLevel="0" collapsed="false">
      <c r="A28" s="14" t="n">
        <v>24</v>
      </c>
      <c r="B28" s="14" t="n">
        <v>24</v>
      </c>
      <c r="C28" s="15" t="s">
        <v>75</v>
      </c>
      <c r="D28" s="16" t="s">
        <v>28</v>
      </c>
      <c r="E28" s="16" t="s">
        <v>76</v>
      </c>
      <c r="F28" s="16" t="s">
        <v>77</v>
      </c>
      <c r="G28" s="17"/>
      <c r="H28" s="17" t="n">
        <v>3000</v>
      </c>
      <c r="I28" s="17" t="n">
        <f aca="false">H28</f>
        <v>3000</v>
      </c>
      <c r="J28" s="17" t="n">
        <f aca="false">H28+I28+G28</f>
        <v>6000</v>
      </c>
      <c r="K28" s="19"/>
    </row>
    <row r="29" s="13" customFormat="true" ht="17.1" hidden="false" customHeight="true" outlineLevel="0" collapsed="false">
      <c r="A29" s="23"/>
      <c r="B29" s="23"/>
      <c r="C29" s="23" t="s">
        <v>78</v>
      </c>
      <c r="D29" s="24"/>
      <c r="E29" s="24"/>
      <c r="F29" s="24"/>
      <c r="G29" s="24" t="n">
        <f aca="false">SUM(G5:G28)</f>
        <v>0</v>
      </c>
      <c r="H29" s="24" t="n">
        <f aca="false">SUM(H5:H28)</f>
        <v>92000</v>
      </c>
      <c r="I29" s="24" t="n">
        <f aca="false">SUM(I5:I28)</f>
        <v>92000</v>
      </c>
      <c r="J29" s="24" t="n">
        <f aca="false">SUM(J5:J28)</f>
        <v>184000</v>
      </c>
      <c r="K29" s="23"/>
    </row>
    <row r="30" s="13" customFormat="true" ht="17.1" hidden="false" customHeight="true" outlineLevel="0" collapsed="false">
      <c r="A30" s="25"/>
      <c r="B30" s="25"/>
      <c r="D30" s="26"/>
      <c r="E30" s="26"/>
      <c r="F30" s="26"/>
      <c r="G30" s="26"/>
      <c r="H30" s="26"/>
      <c r="I30" s="26"/>
      <c r="J30" s="26"/>
      <c r="K30" s="25"/>
    </row>
    <row r="31" s="13" customFormat="true" ht="17.1" hidden="false" customHeight="true" outlineLevel="0" collapsed="false">
      <c r="A31" s="25"/>
      <c r="B31" s="25"/>
      <c r="D31" s="26"/>
      <c r="E31" s="26"/>
      <c r="F31" s="26"/>
      <c r="G31" s="26"/>
      <c r="H31" s="26"/>
      <c r="I31" s="26"/>
      <c r="J31" s="26"/>
      <c r="K31" s="25"/>
    </row>
    <row r="32" s="13" customFormat="true" ht="18" hidden="false" customHeight="true" outlineLevel="0" collapsed="false">
      <c r="A32" s="25"/>
      <c r="B32" s="25"/>
      <c r="C32" s="25"/>
      <c r="D32" s="26" t="s">
        <v>79</v>
      </c>
      <c r="E32" s="26"/>
      <c r="F32" s="26"/>
      <c r="G32" s="26"/>
      <c r="H32" s="26"/>
      <c r="I32" s="26"/>
      <c r="J32" s="26"/>
      <c r="K32" s="25"/>
    </row>
    <row r="33" s="30" customFormat="true" ht="18" hidden="false" customHeight="true" outlineLevel="0" collapsed="false">
      <c r="A33" s="27"/>
      <c r="B33" s="27"/>
      <c r="C33" s="27" t="s">
        <v>80</v>
      </c>
      <c r="D33" s="27" t="s">
        <v>81</v>
      </c>
      <c r="E33" s="27"/>
      <c r="F33" s="27"/>
      <c r="G33" s="28" t="s">
        <v>82</v>
      </c>
      <c r="H33" s="28"/>
      <c r="I33" s="28" t="s">
        <v>83</v>
      </c>
      <c r="J33" s="29"/>
      <c r="K33" s="29" t="s">
        <v>84</v>
      </c>
    </row>
    <row r="34" customFormat="false" ht="18" hidden="false" customHeight="true" outlineLevel="0" collapsed="false"/>
    <row r="35" customFormat="false" ht="15" hidden="false" customHeight="false" outlineLevel="0" collapsed="false">
      <c r="F35" s="31"/>
    </row>
    <row r="42" customFormat="false" ht="15" hidden="false" customHeight="false" outlineLevel="0" collapsed="false">
      <c r="H42" s="32"/>
    </row>
    <row r="45" customFormat="false" ht="15" hidden="false" customHeight="false" outlineLevel="0" collapsed="false">
      <c r="E45" s="33"/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5" right="0.2" top="0.2" bottom="0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1" sqref="19:19 A1"/>
    </sheetView>
  </sheetViews>
  <sheetFormatPr defaultColWidth="9.0664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923</TotalTime>
  <Application>LibreOffice/7.6.2.1$Windows_x86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2018-04-09T10:30:51Z</dcterms:created>
  <dc:creator>cmes</dc:creator>
  <dc:description/>
  <dc:language>en-US</dc:language>
  <cp:lastModifiedBy/>
  <cp:lastPrinted>2023-10-29T15:02:06Z</cp:lastPrinted>
  <dcterms:modified xsi:type="dcterms:W3CDTF">2023-12-12T16:01:07Z</dcterms:modified>
  <cp:revision>139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